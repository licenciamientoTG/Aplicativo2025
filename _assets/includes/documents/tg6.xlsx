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192.168.0.3\c\inetpub\wwwroot\TG_PHP\_assets\includes\documents\"/>
    </mc:Choice>
  </mc:AlternateContent>
  <xr:revisionPtr revIDLastSave="0" documentId="13_ncr:1_{C71EE0CC-DFEB-40BF-BDBD-5F21ED5101C8}" xr6:coauthVersionLast="47" xr6:coauthVersionMax="47" xr10:uidLastSave="{00000000-0000-0000-0000-000000000000}"/>
  <bookViews>
    <workbookView xWindow="-120" yWindow="-120" windowWidth="29040" windowHeight="15720" tabRatio="810" xr2:uid="{00000000-000D-0000-FFFF-FFFF00000000}"/>
  </bookViews>
  <sheets>
    <sheet name="Vta vs Meta Emp Historico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2" l="1"/>
  <c r="H22" i="12" l="1"/>
  <c r="C12" i="12" l="1"/>
  <c r="D12" i="12"/>
  <c r="E12" i="12"/>
  <c r="F12" i="12"/>
  <c r="G12" i="12"/>
  <c r="H12" i="12"/>
  <c r="I12" i="12"/>
  <c r="J12" i="12"/>
  <c r="K12" i="12"/>
  <c r="L12" i="12"/>
  <c r="M12" i="12"/>
  <c r="B12" i="12"/>
  <c r="N26" i="12" l="1"/>
  <c r="C20" i="12"/>
  <c r="D20" i="12"/>
  <c r="E20" i="12"/>
  <c r="F20" i="12"/>
  <c r="G20" i="12"/>
  <c r="H20" i="12"/>
  <c r="I20" i="12"/>
  <c r="J20" i="12"/>
  <c r="K20" i="12"/>
  <c r="L20" i="12"/>
  <c r="M20" i="12"/>
  <c r="N12" i="12"/>
  <c r="N15" i="12"/>
  <c r="N14" i="12"/>
  <c r="B20" i="12" l="1"/>
  <c r="M22" i="12" l="1"/>
  <c r="L22" i="12" l="1"/>
  <c r="K22" i="12" l="1"/>
  <c r="N24" i="12"/>
  <c r="I22" i="12" l="1"/>
  <c r="B22" i="12" l="1"/>
  <c r="G22" i="12" l="1"/>
  <c r="F22" i="12"/>
  <c r="E22" i="12"/>
  <c r="D22" i="12"/>
  <c r="C22" i="12"/>
  <c r="N10" i="12"/>
  <c r="N20" i="12" s="1"/>
  <c r="N22" i="12" l="1"/>
  <c r="B19" i="12" l="1"/>
  <c r="B7" i="12"/>
  <c r="B17" i="12" s="1"/>
  <c r="B28" i="12"/>
  <c r="B29" i="12" s="1"/>
  <c r="J7" i="12"/>
  <c r="J17" i="12" s="1"/>
  <c r="J28" i="12"/>
  <c r="J29" i="12" s="1"/>
  <c r="E7" i="12"/>
  <c r="E28" i="12" s="1"/>
  <c r="E29" i="12" s="1"/>
  <c r="E17" i="12"/>
  <c r="C7" i="12"/>
  <c r="C28" i="12" s="1"/>
  <c r="C17" i="12"/>
  <c r="D7" i="12"/>
  <c r="D28" i="12" s="1"/>
  <c r="D29" i="12" s="1"/>
  <c r="D17" i="12"/>
  <c r="H7" i="12"/>
  <c r="H28" i="12" s="1"/>
  <c r="H29" i="12" s="1"/>
  <c r="H17" i="12"/>
  <c r="G7" i="12"/>
  <c r="G17" i="12" s="1"/>
  <c r="G28" i="12"/>
  <c r="G29" i="12" s="1"/>
  <c r="I17" i="12"/>
  <c r="I29" i="12"/>
  <c r="I7" i="12"/>
  <c r="I28" i="12"/>
  <c r="F7" i="12"/>
  <c r="F17" i="12" s="1"/>
  <c r="F28" i="12"/>
  <c r="F29" i="12" s="1"/>
  <c r="I19" i="12"/>
  <c r="H19" i="12"/>
  <c r="F19" i="12"/>
  <c r="D19" i="12"/>
  <c r="J19" i="12"/>
  <c r="G19" i="12"/>
  <c r="C19" i="12"/>
  <c r="E19" i="12"/>
  <c r="C29" i="12" l="1"/>
  <c r="K19" i="12"/>
  <c r="K7" i="12"/>
  <c r="K28" i="12" s="1"/>
  <c r="K29" i="12" l="1"/>
  <c r="K17" i="12"/>
  <c r="L19" i="12"/>
  <c r="L7" i="12"/>
  <c r="L17" i="12" s="1"/>
  <c r="L28" i="12" l="1"/>
  <c r="L29" i="12" l="1"/>
  <c r="N9" i="12"/>
  <c r="N19" i="12" s="1"/>
  <c r="M19" i="12"/>
  <c r="M7" i="12"/>
  <c r="M17" i="12" s="1"/>
  <c r="N7" i="12" l="1"/>
  <c r="N17" i="12" s="1"/>
  <c r="M28" i="12"/>
  <c r="M29" i="12" l="1"/>
  <c r="N29" i="12" s="1"/>
  <c r="N28" i="12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<sst xmlns="http://schemas.openxmlformats.org/spreadsheetml/2006/main" count="15" uniqueCount="12">
  <si>
    <t>TOTAL</t>
  </si>
  <si>
    <t>Venta Cre/Deb</t>
  </si>
  <si>
    <t>Crédito</t>
  </si>
  <si>
    <t>Débito</t>
  </si>
  <si>
    <t>Meta</t>
  </si>
  <si>
    <t>% LOGRO</t>
  </si>
  <si>
    <t>crédito</t>
  </si>
  <si>
    <t>débito</t>
  </si>
  <si>
    <t>Venta Cre - Mun</t>
  </si>
  <si>
    <t>Crédito Municipio</t>
  </si>
  <si>
    <t>Venta Total</t>
  </si>
  <si>
    <t>Venta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</si>
</sst>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_-;\-* #,##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AB3B4E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43" fontId="2" fillId="0" borderId="1" xfId="1" applyFont="1" applyBorder="1"/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5" fontId="8" fillId="3" borderId="1" xfId="1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9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0" fontId="4" fillId="5" borderId="2" xfId="2" applyNumberFormat="1" applyFont="1" applyFill="1" applyBorder="1" applyAlignment="1">
      <alignment horizontal="center" vertical="center"/>
    </xf>
    <xf numFmtId="10" fontId="9" fillId="0" borderId="1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0" fontId="9" fillId="0" borderId="0" xfId="2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8" fillId="6" borderId="1" xfId="1" applyNumberFormat="1" applyFont="1" applyFill="1" applyBorder="1" applyAlignment="1">
      <alignment horizontal="center" vertical="center"/>
    </xf>
    <xf numFmtId="165" fontId="7" fillId="6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8" fillId="7" borderId="1" xfId="1" applyNumberFormat="1" applyFont="1" applyFill="1" applyBorder="1" applyAlignment="1">
      <alignment horizontal="center" vertical="center"/>
    </xf>
    <xf numFmtId="165" fontId="7" fillId="7" borderId="1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urrency 2" xfId="4" xr:uid="{00000000-0005-0000-0000-000001000000}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C9C9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VTA vs META - Empresarial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'Vta vs Meta Emp Historico'!$A$7</c:f>
              <c:strCache>
                <c:ptCount val="1"/>
                <c:pt idx="0">
                  <c:v>Venta Cre/Deb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'Vta vs Meta Emp Historico'!$B$5:$M$5</c:f>
              <c:numCache>
                <c:formatCode>mmm\-yy</c:formatCode>
                <c:ptCount val="12"/>
              </c:numCache>
            </c:numRef>
          </c:cat>
          <c:val>
            <c:numRef>
              <c:f>'Vta vs Meta Emp Historico'!$B$7:$M$7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D-41DA-BA2C-97803D53F5A0}"/>
            </c:ext>
          </c:extLst>
        </c:ser>
        <c:ser>
          <c:idx val="1"/>
          <c:order val="1"/>
          <c:tx>
            <c:strRef>
              <c:f>'Vta vs Meta Emp Historico'!$A$9</c:f>
              <c:strCache>
                <c:ptCount val="1"/>
                <c:pt idx="0">
                  <c:v>Crédito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'Vta vs Meta Emp Historico'!$B$5:$M$5</c:f>
              <c:numCache>
                <c:formatCode>mmm\-yy</c:formatCode>
                <c:ptCount val="12"/>
              </c:numCache>
            </c:numRef>
          </c:cat>
          <c:val>
            <c:numRef>
              <c:f>'Vta vs Meta Emp Historico'!$B$9:$M$9</c:f>
              <c:numCache>
                <c:formatCode>_-* #,##0_-;\-* #,##0_-;_-*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B3D-41DA-BA2C-97803D53F5A0}"/>
            </c:ext>
          </c:extLst>
        </c:ser>
        <c:ser>
          <c:idx val="2"/>
          <c:order val="2"/>
          <c:tx>
            <c:strRef>
              <c:f>'Vta vs Meta Emp Historico'!$A$10</c:f>
              <c:strCache>
                <c:ptCount val="1"/>
                <c:pt idx="0">
                  <c:v>Débito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'Vta vs Meta Emp Historico'!$B$5:$M$5</c:f>
              <c:numCache>
                <c:formatCode>mmm\-yy</c:formatCode>
                <c:ptCount val="12"/>
              </c:numCache>
            </c:numRef>
          </c:cat>
          <c:val>
            <c:numRef>
              <c:f>'Vta vs Meta Emp Historico'!$B$10:$M$10</c:f>
              <c:numCache>
                <c:formatCode>_-* #,##0_-;\-* #,##0_-;_-*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B3D-41DA-BA2C-97803D53F5A0}"/>
            </c:ext>
          </c:extLst>
        </c:ser>
        <c:ser>
          <c:idx val="3"/>
          <c:order val="3"/>
          <c:tx>
            <c:strRef>
              <c:f>'Vta vs Meta Emp Historico'!$A$12</c:f>
              <c:strCache>
                <c:ptCount val="1"/>
                <c:pt idx="0">
                  <c:v>Meta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'Vta vs Meta Emp Historico'!$B$5:$M$5</c:f>
              <c:numCache>
                <c:formatCode>mmm\-yy</c:formatCode>
                <c:ptCount val="12"/>
              </c:numCache>
            </c:numRef>
          </c:cat>
          <c:val>
            <c:numRef>
              <c:f>'Vta vs Meta Emp Historico'!$B$12:$M$12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3D-41DA-BA2C-97803D53F5A0}"/>
            </c:ext>
          </c:extLst>
        </c:ser>
        <c:ser>
          <c:idx val="4"/>
          <c:order val="4"/>
          <c:tx>
            <c:strRef>
              <c:f>'Vta vs Meta Emp Historico'!$A$14</c:f>
              <c:strCache>
                <c:ptCount val="1"/>
                <c:pt idx="0">
                  <c:v>Crédito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'Vta vs Meta Emp Historico'!$B$5:$M$5</c:f>
              <c:numCache>
                <c:formatCode>mmm\-yy</c:formatCode>
                <c:ptCount val="12"/>
              </c:numCache>
            </c:numRef>
          </c:cat>
          <c:val>
            <c:numRef>
              <c:f>'Vta vs Meta Emp Historico'!$B$14:$M$14</c:f>
              <c:numCache>
                <c:formatCode>_-* #,##0_-;\-* #,##0_-;_-*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FB3D-41DA-BA2C-97803D53F5A0}"/>
            </c:ext>
          </c:extLst>
        </c:ser>
        <c:ser>
          <c:idx val="5"/>
          <c:order val="5"/>
          <c:tx>
            <c:strRef>
              <c:f>'Vta vs Meta Emp Historico'!$A$15</c:f>
              <c:strCache>
                <c:ptCount val="1"/>
                <c:pt idx="0">
                  <c:v>Débito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'Vta vs Meta Emp Historico'!$B$5:$M$5</c:f>
              <c:numCache>
                <c:formatCode>mmm\-yy</c:formatCode>
                <c:ptCount val="12"/>
              </c:numCache>
            </c:numRef>
          </c:cat>
          <c:val>
            <c:numRef>
              <c:f>'Vta vs Meta Emp Historico'!$B$15:$M$15</c:f>
              <c:numCache>
                <c:formatCode>_-* #,##0_-;\-* #,##0_-;_-*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FB3D-41DA-BA2C-97803D53F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624642056"/>
        <c:axId val="624642384"/>
      </c:barChart>
      <c:lineChart>
        <c:grouping val="standard"/>
        <c:varyColors val="0"/>
        <c:ser>
          <c:idx val="6"/>
          <c:order val="6"/>
          <c:tx>
            <c:strRef>
              <c:f>'Vta vs Meta Emp Historico'!$A$17</c:f>
              <c:strCache>
                <c:ptCount val="1"/>
                <c:pt idx="0">
                  <c:v>% LOGRO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'Vta vs Meta Emp Historico'!$B$5:$M$5</c:f>
              <c:numCache>
                <c:formatCode>mmm\-yy</c:formatCode>
                <c:ptCount val="12"/>
              </c:numCache>
            </c:numRef>
          </c:cat>
          <c:val>
            <c:numRef>
              <c:f>'Vta vs Meta Emp Historico'!$B$17:$M$17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3D-41DA-BA2C-97803D53F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379992"/>
        <c:axId val="626376056"/>
      </c:lineChart>
      <c:catAx>
        <c:axId val="624642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4642384"/>
        <c:crosses val="autoZero"/>
        <c:auto val="1"/>
        <c:lblAlgn val="ctr"/>
        <c:lblOffset val="100"/>
        <c:noMultiLvlLbl val="1"/>
      </c:catAx>
      <c:valAx>
        <c:axId val="6246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LITROS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4642056"/>
        <c:crosses val="autoZero"/>
        <c:crossBetween val="between"/>
      </c:valAx>
      <c:valAx>
        <c:axId val="62637605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6379992"/>
        <c:crosses val="max"/>
        <c:crossBetween val="between"/>
      </c:valAx>
      <c:catAx>
        <c:axId val="626379992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626376056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21772</xdr:rowOff>
    </xdr:from>
    <xdr:to>
      <xdr:col>13</xdr:col>
      <xdr:colOff>163285</xdr:colOff>
      <xdr:row>54</xdr:row>
      <xdr:rowOff>32657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123825</xdr:colOff>
      <xdr:row>0</xdr:row>
      <xdr:rowOff>95249</xdr:rowOff>
    </xdr:from>
    <xdr:to>
      <xdr:col>1</xdr:col>
      <xdr:colOff>856866</xdr:colOff>
      <xdr:row>3</xdr:row>
      <xdr:rowOff>59054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95249"/>
          <a:ext cx="1830321" cy="501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Z41"/>
  <sheetViews>
    <sheetView showGridLines="0" tabSelected="1" topLeftCell="A24" zoomScale="85" zoomScaleNormal="85" workbookViewId="0">
      <selection activeCell="G19" sqref="G19"/>
    </sheetView>
  </sheetViews>
  <sheetFormatPr baseColWidth="10" defaultColWidth="11.42578125" defaultRowHeight="15"/>
  <cols>
    <col min="1" max="13" width="15.85546875" customWidth="1"/>
    <col min="14" max="25" width="13.7109375" style="1" bestFit="1" customWidth="1"/>
    <col min="26" max="26" width="14.7109375" bestFit="1" customWidth="1"/>
  </cols>
  <sheetData>
    <row r="3" spans="1:26">
      <c r="R3" s="3"/>
    </row>
    <row r="4" spans="1:26" ht="21">
      <c r="R4" s="3"/>
      <c r="Z4" s="29"/>
    </row>
    <row r="5" spans="1:26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4" t="s">
        <v>0</v>
      </c>
    </row>
    <row r="6" spans="1:26" ht="6.7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/>
    </row>
    <row r="7" spans="1:26">
      <c r="A7" s="5" t="s">
        <v>1</v>
      </c>
      <c r="B7" s="6">
        <f t="shared" ref="B7:J7" si="0">B9+B10</f>
        <v>0</v>
      </c>
      <c r="C7" s="6">
        <f t="shared" si="0"/>
        <v>0</v>
      </c>
      <c r="D7" s="6">
        <f t="shared" si="0"/>
        <v>0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>K9+K10</f>
        <v>0</v>
      </c>
      <c r="L7" s="6">
        <f>L9+L10</f>
        <v>0</v>
      </c>
      <c r="M7" s="6">
        <f>M9+M10</f>
        <v>0</v>
      </c>
      <c r="N7" s="7">
        <f>SUM(B7:M7)</f>
        <v>0</v>
      </c>
    </row>
    <row r="8" spans="1:26" ht="5.2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/>
    </row>
    <row r="9" spans="1:26">
      <c r="A9" s="8" t="s">
        <v>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>
        <f>SUM(B9:M9)</f>
        <v>0</v>
      </c>
    </row>
    <row r="10" spans="1:26">
      <c r="A10" s="8" t="s">
        <v>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>
        <f>SUM(B10:M10)</f>
        <v>0</v>
      </c>
    </row>
    <row r="11" spans="1:26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spans="1:26">
      <c r="A12" s="14" t="s">
        <v>4</v>
      </c>
      <c r="B12" s="15">
        <f>+B14+B15</f>
        <v>0</v>
      </c>
      <c r="C12" s="15">
        <f t="shared" ref="C12:M12" si="1">+C14+C15</f>
        <v>0</v>
      </c>
      <c r="D12" s="15">
        <f t="shared" si="1"/>
        <v>0</v>
      </c>
      <c r="E12" s="15">
        <f t="shared" si="1"/>
        <v>0</v>
      </c>
      <c r="F12" s="15">
        <f t="shared" si="1"/>
        <v>0</v>
      </c>
      <c r="G12" s="15">
        <f t="shared" si="1"/>
        <v>0</v>
      </c>
      <c r="H12" s="15">
        <f t="shared" si="1"/>
        <v>0</v>
      </c>
      <c r="I12" s="15">
        <f t="shared" si="1"/>
        <v>0</v>
      </c>
      <c r="J12" s="15">
        <f t="shared" si="1"/>
        <v>0</v>
      </c>
      <c r="K12" s="15">
        <f t="shared" si="1"/>
        <v>0</v>
      </c>
      <c r="L12" s="15">
        <f t="shared" si="1"/>
        <v>0</v>
      </c>
      <c r="M12" s="15">
        <f t="shared" si="1"/>
        <v>0</v>
      </c>
      <c r="N12" s="15">
        <f>SUM(B12:M12)</f>
        <v>0</v>
      </c>
    </row>
    <row r="13" spans="1:26" ht="4.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/>
    </row>
    <row r="14" spans="1:26">
      <c r="A14" s="8" t="s">
        <v>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0">
        <f>SUM(B14:M14)</f>
        <v>0</v>
      </c>
    </row>
    <row r="15" spans="1:26">
      <c r="A15" s="8" t="s">
        <v>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>
        <f>SUM(B15:M15)</f>
        <v>0</v>
      </c>
    </row>
    <row r="16" spans="1:2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/>
    </row>
    <row r="17" spans="1:14" ht="15.75" thickBot="1">
      <c r="A17" s="17" t="s">
        <v>5</v>
      </c>
      <c r="B17" s="18">
        <f>IFERROR((B7/B12),0)</f>
        <v>0</v>
      </c>
      <c r="C17" s="18">
        <f t="shared" ref="C17:M17" si="2">IFERROR((C7/C12),0)</f>
        <v>0</v>
      </c>
      <c r="D17" s="18">
        <f t="shared" si="2"/>
        <v>0</v>
      </c>
      <c r="E17" s="18">
        <f t="shared" si="2"/>
        <v>0</v>
      </c>
      <c r="F17" s="18">
        <f t="shared" si="2"/>
        <v>0</v>
      </c>
      <c r="G17" s="18">
        <f t="shared" si="2"/>
        <v>0</v>
      </c>
      <c r="H17" s="18">
        <f t="shared" si="2"/>
        <v>0</v>
      </c>
      <c r="I17" s="18">
        <f t="shared" si="2"/>
        <v>0</v>
      </c>
      <c r="J17" s="18">
        <f t="shared" si="2"/>
        <v>0</v>
      </c>
      <c r="K17" s="18">
        <f t="shared" si="2"/>
        <v>0</v>
      </c>
      <c r="L17" s="18">
        <f t="shared" si="2"/>
        <v>0</v>
      </c>
      <c r="M17" s="18">
        <f t="shared" si="2"/>
        <v>0</v>
      </c>
      <c r="N17" s="18">
        <f>IFERROR((N7/N12),0)</f>
        <v>0</v>
      </c>
    </row>
    <row r="18" spans="1:14" ht="5.2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/>
    </row>
    <row r="19" spans="1:14">
      <c r="A19" s="8" t="s">
        <v>6</v>
      </c>
      <c r="B19" s="19">
        <f>IFERROR((B9/B14),0)</f>
        <v>0</v>
      </c>
      <c r="C19" s="19">
        <f t="shared" ref="C19:M19" si="3">IFERROR((C9/C14),0)</f>
        <v>0</v>
      </c>
      <c r="D19" s="19">
        <f t="shared" si="3"/>
        <v>0</v>
      </c>
      <c r="E19" s="19">
        <f t="shared" si="3"/>
        <v>0</v>
      </c>
      <c r="F19" s="19">
        <f t="shared" si="3"/>
        <v>0</v>
      </c>
      <c r="G19" s="19">
        <f t="shared" si="3"/>
        <v>0</v>
      </c>
      <c r="H19" s="19">
        <f t="shared" si="3"/>
        <v>0</v>
      </c>
      <c r="I19" s="19">
        <f t="shared" si="3"/>
        <v>0</v>
      </c>
      <c r="J19" s="19">
        <f t="shared" si="3"/>
        <v>0</v>
      </c>
      <c r="K19" s="19">
        <f t="shared" si="3"/>
        <v>0</v>
      </c>
      <c r="L19" s="19">
        <f t="shared" si="3"/>
        <v>0</v>
      </c>
      <c r="M19" s="19">
        <f t="shared" si="3"/>
        <v>0</v>
      </c>
      <c r="N19" s="19">
        <f>IFERROR((N9/N14),0)</f>
        <v>0</v>
      </c>
    </row>
    <row r="20" spans="1:14">
      <c r="A20" s="8" t="s">
        <v>7</v>
      </c>
      <c r="B20" s="19">
        <f>IFERROR((B10/B15),0)</f>
        <v>0</v>
      </c>
      <c r="C20" s="19">
        <f t="shared" ref="C20:M20" si="4">IFERROR((C10/C15),0)</f>
        <v>0</v>
      </c>
      <c r="D20" s="19">
        <f t="shared" si="4"/>
        <v>0</v>
      </c>
      <c r="E20" s="19">
        <f t="shared" si="4"/>
        <v>0</v>
      </c>
      <c r="F20" s="19">
        <f t="shared" si="4"/>
        <v>0</v>
      </c>
      <c r="G20" s="19">
        <f t="shared" si="4"/>
        <v>0</v>
      </c>
      <c r="H20" s="19">
        <f t="shared" si="4"/>
        <v>0</v>
      </c>
      <c r="I20" s="19">
        <f t="shared" si="4"/>
        <v>0</v>
      </c>
      <c r="J20" s="19">
        <f t="shared" si="4"/>
        <v>0</v>
      </c>
      <c r="K20" s="19">
        <f t="shared" si="4"/>
        <v>0</v>
      </c>
      <c r="L20" s="19">
        <f t="shared" si="4"/>
        <v>0</v>
      </c>
      <c r="M20" s="19">
        <f t="shared" si="4"/>
        <v>0</v>
      </c>
      <c r="N20" s="19">
        <f>IFERROR((N10/N15),0)</f>
        <v>0</v>
      </c>
    </row>
    <row r="21" spans="1:14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ht="12" customHeight="1">
      <c r="A22" s="22" t="s">
        <v>8</v>
      </c>
      <c r="B22" s="23">
        <f>B24</f>
        <v>0</v>
      </c>
      <c r="C22" s="23">
        <f t="shared" ref="C22:M22" si="5">C24</f>
        <v>0</v>
      </c>
      <c r="D22" s="23">
        <f t="shared" si="5"/>
        <v>0</v>
      </c>
      <c r="E22" s="23">
        <f t="shared" si="5"/>
        <v>0</v>
      </c>
      <c r="F22" s="23">
        <f t="shared" si="5"/>
        <v>0</v>
      </c>
      <c r="G22" s="23">
        <f t="shared" si="5"/>
        <v>0</v>
      </c>
      <c r="H22" s="23">
        <f t="shared" si="5"/>
        <v>0</v>
      </c>
      <c r="I22" s="23">
        <f>I24</f>
        <v>0</v>
      </c>
      <c r="J22" s="23">
        <f>J24</f>
        <v>0</v>
      </c>
      <c r="K22" s="23">
        <f>+K24</f>
        <v>0</v>
      </c>
      <c r="L22" s="23">
        <f>+L24</f>
        <v>0</v>
      </c>
      <c r="M22" s="23">
        <f t="shared" si="5"/>
        <v>0</v>
      </c>
      <c r="N22" s="24">
        <f>SUM(B22:M22)</f>
        <v>0</v>
      </c>
    </row>
    <row r="23" spans="1:14" ht="6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/>
    </row>
    <row r="24" spans="1:14">
      <c r="A24" s="8" t="s">
        <v>9</v>
      </c>
      <c r="B24" s="9"/>
      <c r="C24" s="9"/>
      <c r="D24" s="9"/>
      <c r="E24" s="9"/>
      <c r="F24" s="9"/>
      <c r="G24" s="9"/>
      <c r="H24" s="9"/>
      <c r="I24" s="2"/>
      <c r="J24" s="9"/>
      <c r="K24" s="2"/>
      <c r="L24" s="2"/>
      <c r="M24" s="2"/>
      <c r="N24" s="10">
        <f>SUM(B24:M24)</f>
        <v>0</v>
      </c>
    </row>
    <row r="25" spans="1:14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>
      <c r="A26" s="25" t="s">
        <v>10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>
        <f>SUM(B26:M26)</f>
        <v>0</v>
      </c>
    </row>
    <row r="27" spans="1:14" ht="5.2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/>
    </row>
    <row r="28" spans="1:14">
      <c r="A28" s="8" t="s">
        <v>1</v>
      </c>
      <c r="B28" s="9">
        <f t="shared" ref="B28:M28" si="6">+B7+B22</f>
        <v>0</v>
      </c>
      <c r="C28" s="9">
        <f t="shared" si="6"/>
        <v>0</v>
      </c>
      <c r="D28" s="9">
        <f t="shared" si="6"/>
        <v>0</v>
      </c>
      <c r="E28" s="9">
        <f t="shared" si="6"/>
        <v>0</v>
      </c>
      <c r="F28" s="9">
        <f t="shared" si="6"/>
        <v>0</v>
      </c>
      <c r="G28" s="9">
        <f t="shared" si="6"/>
        <v>0</v>
      </c>
      <c r="H28" s="9">
        <f t="shared" si="6"/>
        <v>0</v>
      </c>
      <c r="I28" s="9">
        <f>+I7+I22</f>
        <v>0</v>
      </c>
      <c r="J28" s="9">
        <f>+J7+J22</f>
        <v>0</v>
      </c>
      <c r="K28" s="9">
        <f t="shared" si="6"/>
        <v>0</v>
      </c>
      <c r="L28" s="9">
        <f t="shared" si="6"/>
        <v>0</v>
      </c>
      <c r="M28" s="9">
        <f t="shared" si="6"/>
        <v>0</v>
      </c>
      <c r="N28" s="10">
        <f>SUM(B28:M28)</f>
        <v>0</v>
      </c>
    </row>
    <row r="29" spans="1:14">
      <c r="A29" s="8" t="s">
        <v>11</v>
      </c>
      <c r="B29" s="9">
        <f>+B26-B28</f>
        <v>0</v>
      </c>
      <c r="C29" s="9">
        <f>+C26-C28</f>
        <v>0</v>
      </c>
      <c r="D29" s="9">
        <f t="shared" ref="D29:H29" si="7">+D26-D28</f>
        <v>0</v>
      </c>
      <c r="E29" s="9">
        <f t="shared" si="7"/>
        <v>0</v>
      </c>
      <c r="F29" s="9">
        <f t="shared" si="7"/>
        <v>0</v>
      </c>
      <c r="G29" s="9">
        <f t="shared" si="7"/>
        <v>0</v>
      </c>
      <c r="H29" s="9">
        <f t="shared" si="7"/>
        <v>0</v>
      </c>
      <c r="I29" s="9">
        <f>+I26-I28</f>
        <v>0</v>
      </c>
      <c r="J29" s="9">
        <f>+J26-J28</f>
        <v>0</v>
      </c>
      <c r="K29" s="9">
        <f t="shared" ref="K29:M29" si="8">+K26-K28</f>
        <v>0</v>
      </c>
      <c r="L29" s="9">
        <f t="shared" si="8"/>
        <v>0</v>
      </c>
      <c r="M29" s="9">
        <f t="shared" si="8"/>
        <v>0</v>
      </c>
      <c r="N29" s="10">
        <f>SUM(B29:M29)</f>
        <v>0</v>
      </c>
    </row>
    <row r="41" spans="20:20">
      <c r="T41" s="28"/>
    </row>
  </sheetData>
  <phoneticPr fontId="1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Vta vs Meta Emp 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Olvera</dc:creator>
  <cp:lastModifiedBy>manuel Martinez</cp:lastModifiedBy>
  <cp:lastPrinted>2023-08-14T05:23:24Z</cp:lastPrinted>
  <dcterms:created xsi:type="dcterms:W3CDTF">2022-08-29T17:46:30Z</dcterms:created>
  <dcterms:modified xsi:type="dcterms:W3CDTF">2024-10-04T18:33:45Z</dcterms:modified>
</cp:coreProperties>
</file>